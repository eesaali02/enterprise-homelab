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bnets" sheetId="2" state="visible" r:id="rId4"/>
    <sheet name="Addres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Formula: 2^(32 - prefix) - 2. Subtract 2 for the network and broadcast addresses.</t>
        </r>
      </text>
    </comment>
  </commentList>
</comments>
</file>

<file path=xl/sharedStrings.xml><?xml version="1.0" encoding="utf-8"?>
<sst xmlns="http://schemas.openxmlformats.org/spreadsheetml/2006/main" count="119" uniqueCount="94">
  <si>
    <t xml:space="preserve">Enterprise Network Lab: IPAM</t>
  </si>
  <si>
    <t xml:space="preserve">IP Address Management sheet: every subnet, gateway, DHCP range and static address in the lab.</t>
  </si>
  <si>
    <t xml:space="preserve">How to use it</t>
  </si>
  <si>
    <t xml:space="preserve">Blue text = values you type in. Black text = formulas (don't edit).</t>
  </si>
  <si>
    <t xml:space="preserve">Yellow cells = not decided yet. Fill them in when you reach that phase.</t>
  </si>
  <si>
    <t xml:space="preserve">Update this file in the same Git commit as any network change, and keep it matching the logical diagram.</t>
  </si>
  <si>
    <t xml:space="preserve">Phase 6's inventory script will read the Subnets tab, so keep one subnet per row and don't rename the columns.</t>
  </si>
  <si>
    <t xml:space="preserve">Source</t>
  </si>
  <si>
    <t xml:space="preserve">Values come from the 'Target lab architecture' section of the Enterprise Network Lab build plan (2026-09-30).</t>
  </si>
  <si>
    <t xml:space="preserve">VLAN</t>
  </si>
  <si>
    <t xml:space="preserve">Name</t>
  </si>
  <si>
    <t xml:space="preserve">Network</t>
  </si>
  <si>
    <t xml:space="preserve">Prefix (/)</t>
  </si>
  <si>
    <t xml:space="preserve">Usable hosts</t>
  </si>
  <si>
    <t xml:space="preserve">Gateway</t>
  </si>
  <si>
    <t xml:space="preserve">Routed by</t>
  </si>
  <si>
    <t xml:space="preserve">Addressing</t>
  </si>
  <si>
    <t xml:space="preserve">DHCP range</t>
  </si>
  <si>
    <t xml:space="preserve">Notes</t>
  </si>
  <si>
    <t xml:space="preserve">Servers</t>
  </si>
  <si>
    <t xml:space="preserve">10.10.10.0</t>
  </si>
  <si>
    <t xml:space="preserve">10.10.10.1</t>
  </si>
  <si>
    <t xml:space="preserve">CORE-RTR01</t>
  </si>
  <si>
    <t xml:space="preserve">Static only (.10 to .50)</t>
  </si>
  <si>
    <t xml:space="preserve">DC01, LNX-SVC01, LNX-WEB01</t>
  </si>
  <si>
    <t xml:space="preserve">Workstations</t>
  </si>
  <si>
    <t xml:space="preserve">10.10.20.0</t>
  </si>
  <si>
    <t xml:space="preserve">10.10.20.1</t>
  </si>
  <si>
    <t xml:space="preserve">DHCP</t>
  </si>
  <si>
    <t xml:space="preserve">10.10.20.100 - 10.10.20.200</t>
  </si>
  <si>
    <t xml:space="preserve">WS01 and extra clients</t>
  </si>
  <si>
    <t xml:space="preserve">Management</t>
  </si>
  <si>
    <t xml:space="preserve">10.10.30.0</t>
  </si>
  <si>
    <t xml:space="preserve">10.10.30.1</t>
  </si>
  <si>
    <t xml:space="preserve">Static only</t>
  </si>
  <si>
    <t xml:space="preserve">MGMT01, SIEM01, router and firewall admin</t>
  </si>
  <si>
    <t xml:space="preserve">Guest</t>
  </si>
  <si>
    <t xml:space="preserve">10.10.40.0</t>
  </si>
  <si>
    <t xml:space="preserve">10.10.40.1</t>
  </si>
  <si>
    <t xml:space="preserve">CORE-RTR01 (pfSense from Phase 4)</t>
  </si>
  <si>
    <t xml:space="preserve">10.10.40.100 - 10.10.40.200</t>
  </si>
  <si>
    <t xml:space="preserve">GUEST01</t>
  </si>
  <si>
    <t xml:space="preserve">Transit</t>
  </si>
  <si>
    <t xml:space="preserve">10.10.99.0</t>
  </si>
  <si>
    <t xml:space="preserve">EDGE-FW01 .1 / CORE-RTR01 .2</t>
  </si>
  <si>
    <t xml:space="preserve">Static</t>
  </si>
  <si>
    <t xml:space="preserve">Router to firewall link (Phase 4)</t>
  </si>
  <si>
    <t xml:space="preserve">-</t>
  </si>
  <si>
    <t xml:space="preserve">VPN tunnel</t>
  </si>
  <si>
    <t xml:space="preserve">10.10.50.0</t>
  </si>
  <si>
    <t xml:space="preserve">EDGE-FW01</t>
  </si>
  <si>
    <t xml:space="preserve">Handed out by OpenVPN</t>
  </si>
  <si>
    <t xml:space="preserve">Remote users (Phase 4)</t>
  </si>
  <si>
    <t xml:space="preserve">Outside (WAN): Hyper-V Default Switch -&gt; home router, DHCP. Not a lab subnet, so not listed above.</t>
  </si>
  <si>
    <t xml:space="preserve">IP address</t>
  </si>
  <si>
    <t xml:space="preserve">Type</t>
  </si>
  <si>
    <t xml:space="preserve">Role</t>
  </si>
  <si>
    <t xml:space="preserve">10 / 20 / 30 / 40</t>
  </si>
  <si>
    <t xml:space="preserve">.1 on each VLAN</t>
  </si>
  <si>
    <t xml:space="preserve">Router (RRAS)</t>
  </si>
  <si>
    <t xml:space="preserve">Phase 1. Becomes 10.10.99.2 on transit in Phase 4</t>
  </si>
  <si>
    <t xml:space="preserve">Kali, visitor laptop / scanner</t>
  </si>
  <si>
    <t xml:space="preserve">Phase 1</t>
  </si>
  <si>
    <t xml:space="preserve">DC01</t>
  </si>
  <si>
    <t xml:space="preserve">10.10.10.10</t>
  </si>
  <si>
    <t xml:space="preserve">Domain controller, AD DNS, file share</t>
  </si>
  <si>
    <t xml:space="preserve">Phase 2</t>
  </si>
  <si>
    <t xml:space="preserve">WS01</t>
  </si>
  <si>
    <t xml:space="preserve">User workstation</t>
  </si>
  <si>
    <t xml:space="preserve">MGMT01</t>
  </si>
  <si>
    <t xml:space="preserve">10.10.30.20</t>
  </si>
  <si>
    <t xml:space="preserve">Admin workstation</t>
  </si>
  <si>
    <t xml:space="preserve">LNX-SVC01</t>
  </si>
  <si>
    <t xml:space="preserve">10.10.10.20</t>
  </si>
  <si>
    <t xml:space="preserve">BIND9 DNS, Kea DHCP, chrony NTP</t>
  </si>
  <si>
    <t xml:space="preserve">Phase 3</t>
  </si>
  <si>
    <t xml:space="preserve">LNX-WEB01</t>
  </si>
  <si>
    <t xml:space="preserve">10.10.10.30</t>
  </si>
  <si>
    <t xml:space="preserve">Nginx intranet (HTTPS)</t>
  </si>
  <si>
    <t xml:space="preserve">99 + WAN</t>
  </si>
  <si>
    <t xml:space="preserve">10.10.99.1</t>
  </si>
  <si>
    <t xml:space="preserve">pfSense: NAT, IDS, VPN</t>
  </si>
  <si>
    <t xml:space="preserve">Phase 4. WAN side by DHCP</t>
  </si>
  <si>
    <t xml:space="preserve">SIEM01</t>
  </si>
  <si>
    <t xml:space="preserve">10.10.30.10</t>
  </si>
  <si>
    <t xml:space="preserve">Wazuh all-in-one</t>
  </si>
  <si>
    <t xml:space="preserve">Phase 7</t>
  </si>
  <si>
    <t xml:space="preserve">(example) PRN01</t>
  </si>
  <si>
    <t xml:space="preserve">10.10.20.50</t>
  </si>
  <si>
    <t xml:space="preserve">Example row: a printer you might add</t>
  </si>
  <si>
    <t xml:space="preserve">Delete or keep as a pattern</t>
  </si>
  <si>
    <t xml:space="preserve">EDGE-FW01 (mgmt)</t>
  </si>
  <si>
    <t xml:space="preserve">Firewall admin interface</t>
  </si>
  <si>
    <t xml:space="preserve">Pick an address in Phase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</si>
</sst>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27"/>
    <col collapsed="false" customWidth="true" hidden="false" outlineLevel="0" max="10" min="10" style="0" width="38"/>
  </cols>
  <sheetData>
    <row r="1" customFormat="false" ht="26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customFormat="false" ht="15" hidden="false" customHeight="false" outlineLevel="0" collapsed="false">
      <c r="A2" s="5" t="n">
        <v>10</v>
      </c>
      <c r="B2" s="5" t="s">
        <v>19</v>
      </c>
      <c r="C2" s="5" t="s">
        <v>20</v>
      </c>
      <c r="D2" s="5" t="n">
        <v>24</v>
      </c>
      <c r="E2" s="6" t="n">
        <f aca="false">2^(32-D2)-2</f>
        <v>254</v>
      </c>
      <c r="F2" s="5" t="s">
        <v>21</v>
      </c>
      <c r="G2" s="5" t="s">
        <v>22</v>
      </c>
      <c r="H2" s="5" t="s">
        <v>23</v>
      </c>
      <c r="I2" s="5"/>
      <c r="J2" s="5" t="s">
        <v>24</v>
      </c>
    </row>
    <row r="3" customFormat="false" ht="15" hidden="false" customHeight="false" outlineLevel="0" collapsed="false">
      <c r="A3" s="5" t="n">
        <v>20</v>
      </c>
      <c r="B3" s="5" t="s">
        <v>25</v>
      </c>
      <c r="C3" s="5" t="s">
        <v>26</v>
      </c>
      <c r="D3" s="5" t="n">
        <v>24</v>
      </c>
      <c r="E3" s="6" t="n">
        <f aca="false">2^(32-D3)-2</f>
        <v>254</v>
      </c>
      <c r="F3" s="5" t="s">
        <v>27</v>
      </c>
      <c r="G3" s="5" t="s">
        <v>22</v>
      </c>
      <c r="H3" s="5" t="s">
        <v>28</v>
      </c>
      <c r="I3" s="5" t="s">
        <v>29</v>
      </c>
      <c r="J3" s="5" t="s">
        <v>30</v>
      </c>
    </row>
    <row r="4" customFormat="false" ht="15" hidden="false" customHeight="false" outlineLevel="0" collapsed="false">
      <c r="A4" s="5" t="n">
        <v>30</v>
      </c>
      <c r="B4" s="5" t="s">
        <v>31</v>
      </c>
      <c r="C4" s="5" t="s">
        <v>32</v>
      </c>
      <c r="D4" s="5" t="n">
        <v>24</v>
      </c>
      <c r="E4" s="6" t="n">
        <f aca="false">2^(32-D4)-2</f>
        <v>254</v>
      </c>
      <c r="F4" s="5" t="s">
        <v>33</v>
      </c>
      <c r="G4" s="5" t="s">
        <v>22</v>
      </c>
      <c r="H4" s="5" t="s">
        <v>34</v>
      </c>
      <c r="I4" s="5"/>
      <c r="J4" s="5" t="s">
        <v>35</v>
      </c>
    </row>
    <row r="5" customFormat="false" ht="15" hidden="false" customHeight="false" outlineLevel="0" collapsed="false">
      <c r="A5" s="5" t="n">
        <v>40</v>
      </c>
      <c r="B5" s="5" t="s">
        <v>36</v>
      </c>
      <c r="C5" s="5" t="s">
        <v>37</v>
      </c>
      <c r="D5" s="5" t="n">
        <v>24</v>
      </c>
      <c r="E5" s="6" t="n">
        <f aca="false">2^(32-D5)-2</f>
        <v>254</v>
      </c>
      <c r="F5" s="5" t="s">
        <v>38</v>
      </c>
      <c r="G5" s="5" t="s">
        <v>39</v>
      </c>
      <c r="H5" s="5" t="s">
        <v>28</v>
      </c>
      <c r="I5" s="5" t="s">
        <v>40</v>
      </c>
      <c r="J5" s="5" t="s">
        <v>41</v>
      </c>
    </row>
    <row r="6" customFormat="false" ht="15" hidden="false" customHeight="false" outlineLevel="0" collapsed="false">
      <c r="A6" s="5" t="n">
        <v>99</v>
      </c>
      <c r="B6" s="5" t="s">
        <v>42</v>
      </c>
      <c r="C6" s="5" t="s">
        <v>43</v>
      </c>
      <c r="D6" s="5" t="n">
        <v>29</v>
      </c>
      <c r="E6" s="6" t="n">
        <f aca="false">2^(32-D6)-2</f>
        <v>6</v>
      </c>
      <c r="F6" s="5"/>
      <c r="G6" s="5" t="s">
        <v>44</v>
      </c>
      <c r="H6" s="5" t="s">
        <v>45</v>
      </c>
      <c r="I6" s="5"/>
      <c r="J6" s="5" t="s">
        <v>46</v>
      </c>
    </row>
    <row r="7" customFormat="false" ht="15" hidden="false" customHeight="false" outlineLevel="0" collapsed="false">
      <c r="A7" s="5" t="s">
        <v>47</v>
      </c>
      <c r="B7" s="5" t="s">
        <v>48</v>
      </c>
      <c r="C7" s="5" t="s">
        <v>49</v>
      </c>
      <c r="D7" s="5" t="n">
        <v>24</v>
      </c>
      <c r="E7" s="6" t="n">
        <f aca="false">2^(32-D7)-2</f>
        <v>254</v>
      </c>
      <c r="F7" s="5"/>
      <c r="G7" s="5" t="s">
        <v>50</v>
      </c>
      <c r="H7" s="5" t="s">
        <v>51</v>
      </c>
      <c r="I7" s="5"/>
      <c r="J7" s="5" t="s">
        <v>52</v>
      </c>
    </row>
    <row r="8" customFormat="false" ht="15" hidden="false" customHeight="false" outlineLevel="0" collapsed="false">
      <c r="J8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4" t="s">
        <v>10</v>
      </c>
      <c r="B1" s="4" t="s">
        <v>9</v>
      </c>
      <c r="C1" s="4" t="s">
        <v>54</v>
      </c>
      <c r="D1" s="4" t="s">
        <v>55</v>
      </c>
      <c r="E1" s="4" t="s">
        <v>56</v>
      </c>
      <c r="F1" s="4" t="s">
        <v>18</v>
      </c>
    </row>
    <row r="2" customFormat="false" ht="15" hidden="false" customHeight="false" outlineLevel="0" collapsed="false">
      <c r="A2" s="5" t="s">
        <v>22</v>
      </c>
      <c r="B2" s="5" t="s">
        <v>57</v>
      </c>
      <c r="C2" s="5" t="s">
        <v>58</v>
      </c>
      <c r="D2" s="5" t="s">
        <v>45</v>
      </c>
      <c r="E2" s="5" t="s">
        <v>59</v>
      </c>
      <c r="F2" s="5" t="s">
        <v>60</v>
      </c>
    </row>
    <row r="3" customFormat="false" ht="15" hidden="false" customHeight="false" outlineLevel="0" collapsed="false">
      <c r="A3" s="5" t="s">
        <v>41</v>
      </c>
      <c r="B3" s="5" t="n">
        <v>40</v>
      </c>
      <c r="C3" s="5" t="s">
        <v>28</v>
      </c>
      <c r="D3" s="5" t="s">
        <v>28</v>
      </c>
      <c r="E3" s="5" t="s">
        <v>61</v>
      </c>
      <c r="F3" s="5" t="s">
        <v>62</v>
      </c>
    </row>
    <row r="4" customFormat="false" ht="15" hidden="false" customHeight="false" outlineLevel="0" collapsed="false">
      <c r="A4" s="5" t="s">
        <v>63</v>
      </c>
      <c r="B4" s="5" t="n">
        <v>10</v>
      </c>
      <c r="C4" s="5" t="s">
        <v>64</v>
      </c>
      <c r="D4" s="5" t="s">
        <v>45</v>
      </c>
      <c r="E4" s="5" t="s">
        <v>65</v>
      </c>
      <c r="F4" s="5" t="s">
        <v>66</v>
      </c>
    </row>
    <row r="5" customFormat="false" ht="15" hidden="false" customHeight="false" outlineLevel="0" collapsed="false">
      <c r="A5" s="5" t="s">
        <v>67</v>
      </c>
      <c r="B5" s="5" t="n">
        <v>20</v>
      </c>
      <c r="C5" s="5" t="s">
        <v>28</v>
      </c>
      <c r="D5" s="5" t="s">
        <v>28</v>
      </c>
      <c r="E5" s="5" t="s">
        <v>68</v>
      </c>
      <c r="F5" s="5" t="s">
        <v>66</v>
      </c>
    </row>
    <row r="6" customFormat="false" ht="15" hidden="false" customHeight="false" outlineLevel="0" collapsed="false">
      <c r="A6" s="5" t="s">
        <v>69</v>
      </c>
      <c r="B6" s="5" t="n">
        <v>30</v>
      </c>
      <c r="C6" s="5" t="s">
        <v>70</v>
      </c>
      <c r="D6" s="5" t="s">
        <v>45</v>
      </c>
      <c r="E6" s="5" t="s">
        <v>71</v>
      </c>
      <c r="F6" s="5" t="s">
        <v>66</v>
      </c>
    </row>
    <row r="7" customFormat="false" ht="15" hidden="false" customHeight="false" outlineLevel="0" collapsed="false">
      <c r="A7" s="5" t="s">
        <v>72</v>
      </c>
      <c r="B7" s="5" t="n">
        <v>10</v>
      </c>
      <c r="C7" s="5" t="s">
        <v>73</v>
      </c>
      <c r="D7" s="5" t="s">
        <v>45</v>
      </c>
      <c r="E7" s="5" t="s">
        <v>74</v>
      </c>
      <c r="F7" s="5" t="s">
        <v>75</v>
      </c>
    </row>
    <row r="8" customFormat="false" ht="15" hidden="false" customHeight="false" outlineLevel="0" collapsed="false">
      <c r="A8" s="5" t="s">
        <v>76</v>
      </c>
      <c r="B8" s="5" t="n">
        <v>10</v>
      </c>
      <c r="C8" s="5" t="s">
        <v>77</v>
      </c>
      <c r="D8" s="5" t="s">
        <v>45</v>
      </c>
      <c r="E8" s="5" t="s">
        <v>78</v>
      </c>
      <c r="F8" s="5" t="s">
        <v>75</v>
      </c>
    </row>
    <row r="9" customFormat="false" ht="15" hidden="false" customHeight="false" outlineLevel="0" collapsed="false">
      <c r="A9" s="5" t="s">
        <v>50</v>
      </c>
      <c r="B9" s="5" t="s">
        <v>79</v>
      </c>
      <c r="C9" s="5" t="s">
        <v>80</v>
      </c>
      <c r="D9" s="5" t="s">
        <v>45</v>
      </c>
      <c r="E9" s="5" t="s">
        <v>81</v>
      </c>
      <c r="F9" s="5" t="s">
        <v>82</v>
      </c>
    </row>
    <row r="10" customFormat="false" ht="15" hidden="false" customHeight="false" outlineLevel="0" collapsed="false">
      <c r="A10" s="5" t="s">
        <v>83</v>
      </c>
      <c r="B10" s="5" t="n">
        <v>30</v>
      </c>
      <c r="C10" s="5" t="s">
        <v>84</v>
      </c>
      <c r="D10" s="5" t="s">
        <v>45</v>
      </c>
      <c r="E10" s="5" t="s">
        <v>85</v>
      </c>
      <c r="F10" s="5" t="s">
        <v>86</v>
      </c>
    </row>
    <row r="11" customFormat="false" ht="15" hidden="false" customHeight="false" outlineLevel="0" collapsed="false">
      <c r="A11" s="8" t="s">
        <v>87</v>
      </c>
      <c r="B11" s="8" t="n">
        <v>20</v>
      </c>
      <c r="C11" s="8" t="s">
        <v>88</v>
      </c>
      <c r="D11" s="8" t="s">
        <v>45</v>
      </c>
      <c r="E11" s="8" t="s">
        <v>89</v>
      </c>
      <c r="F11" s="8" t="s">
        <v>90</v>
      </c>
    </row>
    <row r="12" customFormat="false" ht="15" hidden="false" customHeight="false" outlineLevel="0" collapsed="false">
      <c r="A12" s="5" t="s">
        <v>91</v>
      </c>
      <c r="B12" s="5" t="n">
        <v>30</v>
      </c>
      <c r="C12" s="9"/>
      <c r="D12" s="5" t="s">
        <v>45</v>
      </c>
      <c r="E12" s="5" t="s">
        <v>92</v>
      </c>
      <c r="F12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2026-10-15T01:24:53Z</dcterms:created>
  <dc:creator>openpyxl</dc:creator>
  <dc:description/>
  <dc:language>en-US</dc:language>
  <cp:lastModifiedBy/>
  <dcterms:modified xsi:type="dcterms:W3CDTF">2026-10-15T01:24:53Z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